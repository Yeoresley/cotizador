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_Client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Vehiculos" sheetId="3" state="visible" r:id="rId3"/>
    <sheet xmlns:r="http://schemas.openxmlformats.org/officeDocument/2006/relationships" name="Cotizador" sheetId="4" state="visible" r:id="rId4"/>
  </sheets>
  <definedNames/>
</workbook>
</file>

<file path=xl/styles.xml><?xml version="1.0" encoding="utf-8"?>
<styleSheet xmlns="http://schemas.openxmlformats.org/spreadsheetml/2006/main">
  <numFmts count="9">
    <numFmt numFmtId="164" formatCode="0.0%;[Red](0.0%);-"/>
    <numFmt numFmtId="165" formatCode="$#,##0.00;[Red]($#,##0.00);-"/>
    <numFmt numFmtId="166" formatCode="#,##0;[Red](#,##0);-"/>
    <numFmt numFmtId="167" formatCode="dd/mm/yyyy"/>
    <numFmt numFmtId="168" formatCode="0.00 &quot;km/L&quot;"/>
    <numFmt numFmtId="169" formatCode="#,##0.00 &quot;L&quot;"/>
    <numFmt numFmtId="170" formatCode="0.00 &quot;km&quot;"/>
    <numFmt numFmtId="171" formatCode="0 &quot;día(s)&quot;"/>
    <numFmt numFmtId="172" formatCode="$#,##0.00"/>
  </numFmts>
  <fonts count="15">
    <font>
      <name val="Carlito"/>
      <sz val="11"/>
    </font>
    <font>
      <name val="Carlito"/>
      <b val="1"/>
      <color rgb="FFFFFFFF"/>
      <sz val="16"/>
    </font>
    <font>
      <name val="Carlito"/>
      <b val="1"/>
      <color rgb="FF000000"/>
      <sz val="11"/>
    </font>
    <font>
      <name val="Carlito"/>
      <color rgb="FF0000FF"/>
      <sz val="11"/>
    </font>
    <font>
      <name val="Carlito"/>
      <i val="1"/>
      <color rgb="FF666666"/>
      <sz val="11"/>
    </font>
    <font>
      <name val="Carlito"/>
      <color rgb="FF000000"/>
      <sz val="11"/>
    </font>
    <font>
      <name val="Carlito"/>
      <b val="1"/>
      <color rgb="FFFFFFFF"/>
      <sz val="11"/>
    </font>
    <font>
      <name val="Carlito"/>
      <color rgb="FF008000"/>
      <sz val="11"/>
    </font>
    <font>
      <name val="Carlito"/>
      <b val="1"/>
      <color rgb="FFFFFFFF"/>
      <sz val="13"/>
    </font>
    <font>
      <b val="1"/>
      <color rgb="00FFFFFF"/>
      <sz val="18"/>
    </font>
    <font>
      <b val="1"/>
    </font>
    <font>
      <color rgb="000000FF"/>
    </font>
    <font>
      <b val="1"/>
      <color rgb="00008000"/>
    </font>
    <font>
      <b val="1"/>
      <color rgb="00FFFFFF"/>
      <sz val="16"/>
    </font>
    <font>
      <i val="1"/>
      <color rgb="00666666"/>
    </font>
  </fonts>
  <fills count="1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70AD47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70AD47"/>
      </patternFill>
    </fill>
    <fill>
      <patternFill patternType="solid">
        <fgColor rgb="00F2F2F2"/>
      </patternFill>
    </fill>
  </fills>
  <borders count="30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top/>
    </border>
    <border>
      <top/>
    </border>
    <border>
      <top/>
      <bottom/>
    </border>
    <border>
      <top/>
      <bottom/>
    </border>
    <border>
      <left/>
      <top/>
    </border>
    <border>
      <left/>
      <top/>
      <bottom/>
    </border>
    <border>
      <left/>
      <top/>
    </border>
    <border>
      <left/>
      <top/>
      <bottom/>
    </border>
    <border>
      <left/>
      <right/>
      <top/>
    </border>
    <border>
      <left/>
      <right/>
      <bottom/>
    </border>
    <border>
      <left/>
      <right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1"/>
  </cellStyleXfs>
  <cellXfs count="25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3" fillId="4" borderId="0" pivotButton="0" quotePrefix="0" xfId="0"/>
    <xf numFmtId="166" fontId="3" fillId="4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0" pivotButton="0" quotePrefix="0" xfId="0"/>
    <xf numFmtId="0" fontId="0" fillId="0" borderId="6" pivotButton="0" quotePrefix="0" xfId="0"/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4" fillId="5" borderId="7" applyAlignment="1" pivotButton="0" quotePrefix="0" xfId="0">
      <alignment wrapText="1"/>
    </xf>
    <xf numFmtId="0" fontId="4" fillId="5" borderId="8" applyAlignment="1" pivotButton="0" quotePrefix="0" xfId="0">
      <alignment wrapText="1"/>
    </xf>
    <xf numFmtId="0" fontId="4" fillId="5" borderId="9" applyAlignment="1" pivotButton="0" quotePrefix="0" xfId="0">
      <alignment wrapText="1"/>
    </xf>
    <xf numFmtId="0" fontId="1" fillId="2" borderId="10" applyAlignment="1" pivotButton="0" quotePrefix="0" xfId="0">
      <alignment horizontal="left" vertical="center"/>
    </xf>
    <xf numFmtId="0" fontId="1" fillId="2" borderId="11" applyAlignment="1" pivotButton="0" quotePrefix="0" xfId="0">
      <alignment horizontal="left" vertical="center"/>
    </xf>
    <xf numFmtId="0" fontId="1" fillId="2" borderId="12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2" fillId="3" borderId="13" applyAlignment="1" pivotButton="0" quotePrefix="0" xfId="0">
      <alignment horizontal="center" vertical="center" wrapText="1"/>
    </xf>
    <xf numFmtId="0" fontId="2" fillId="3" borderId="14" applyAlignment="1" pivotButton="0" quotePrefix="0" xfId="0">
      <alignment horizontal="center" vertical="center" wrapText="1"/>
    </xf>
    <xf numFmtId="0" fontId="4" fillId="5" borderId="15" applyAlignment="1" pivotButton="0" quotePrefix="0" xfId="0">
      <alignment wrapText="1"/>
    </xf>
    <xf numFmtId="0" fontId="4" fillId="5" borderId="16" applyAlignment="1" pivotButton="0" quotePrefix="0" xfId="0">
      <alignment wrapText="1"/>
    </xf>
    <xf numFmtId="0" fontId="4" fillId="5" borderId="17" applyAlignment="1" pivotButton="0" quotePrefix="0" xfId="0">
      <alignment wrapText="1"/>
    </xf>
    <xf numFmtId="0" fontId="3" fillId="0" borderId="0" pivotButton="0" quotePrefix="0" xfId="0"/>
    <xf numFmtId="0" fontId="3" fillId="0" borderId="1" pivotButton="0" quotePrefix="0" xfId="0"/>
    <xf numFmtId="0" fontId="5" fillId="0" borderId="0" pivotButton="0" quotePrefix="0" xfId="0"/>
    <xf numFmtId="0" fontId="5" fillId="0" borderId="1" pivotButton="0" quotePrefix="0" xfId="0"/>
    <xf numFmtId="165" fontId="3" fillId="0" borderId="0" pivotButton="0" quotePrefix="0" xfId="0"/>
    <xf numFmtId="165" fontId="5" fillId="0" borderId="0" pivotButton="0" quotePrefix="0" xfId="0"/>
    <xf numFmtId="165" fontId="3" fillId="0" borderId="1" pivotButton="0" quotePrefix="0" xfId="0"/>
    <xf numFmtId="165" fontId="5" fillId="0" borderId="1" pivotButton="0" quotePrefix="0" xfId="0"/>
    <xf numFmtId="2" fontId="3" fillId="0" borderId="0" pivotButton="0" quotePrefix="0" xfId="0"/>
    <xf numFmtId="2" fontId="3" fillId="0" borderId="1" pivotButton="0" quotePrefix="0" xfId="0"/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165" fontId="3" fillId="0" borderId="8" pivotButton="0" quotePrefix="0" xfId="0"/>
    <xf numFmtId="165" fontId="5" fillId="0" borderId="8" pivotButton="0" quotePrefix="0" xfId="0"/>
    <xf numFmtId="2" fontId="3" fillId="0" borderId="8" pivotButton="0" quotePrefix="0" xfId="0"/>
    <xf numFmtId="0" fontId="3" fillId="0" borderId="9" pivotButton="0" quotePrefix="0" xfId="0"/>
    <xf numFmtId="0" fontId="2" fillId="3" borderId="10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3" fillId="0" borderId="16" pivotButton="0" quotePrefix="0" xfId="0"/>
    <xf numFmtId="165" fontId="3" fillId="0" borderId="16" pivotButton="0" quotePrefix="0" xfId="0"/>
    <xf numFmtId="165" fontId="5" fillId="0" borderId="16" pivotButton="0" quotePrefix="0" xfId="0"/>
    <xf numFmtId="2" fontId="3" fillId="0" borderId="16" pivotButton="0" quotePrefix="0" xfId="0"/>
    <xf numFmtId="0" fontId="3" fillId="0" borderId="17" pivotButton="0" quotePrefix="0" xfId="0"/>
    <xf numFmtId="0" fontId="3" fillId="0" borderId="6" applyAlignment="1" pivotButton="0" quotePrefix="0" xfId="0">
      <alignment wrapText="1"/>
    </xf>
    <xf numFmtId="0" fontId="3" fillId="0" borderId="9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17" applyAlignment="1" pivotButton="0" quotePrefix="0" xfId="0">
      <alignment wrapText="1"/>
    </xf>
    <xf numFmtId="0" fontId="0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horizontal="left"/>
    </xf>
    <xf numFmtId="0" fontId="6" fillId="6" borderId="0" applyAlignment="1" pivotButton="0" quotePrefix="0" xfId="0">
      <alignment horizontal="left" vertical="center"/>
    </xf>
    <xf numFmtId="0" fontId="0" fillId="6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left" vertical="center"/>
    </xf>
    <xf numFmtId="167" fontId="3" fillId="4" borderId="0" pivotButton="0" quotePrefix="0" xfId="0"/>
    <xf numFmtId="167" fontId="3" fillId="4" borderId="1" pivotButton="0" quotePrefix="0" xfId="0"/>
    <xf numFmtId="165" fontId="3" fillId="7" borderId="0" pivotButton="0" quotePrefix="0" xfId="0"/>
    <xf numFmtId="165" fontId="7" fillId="7" borderId="0" pivotButton="0" quotePrefix="0" xfId="0"/>
    <xf numFmtId="165" fontId="3" fillId="7" borderId="1" pivotButton="0" quotePrefix="0" xfId="0"/>
    <xf numFmtId="165" fontId="7" fillId="7" borderId="1" pivotButton="0" quotePrefix="0" xfId="0"/>
    <xf numFmtId="0" fontId="0" fillId="7" borderId="0" pivotButton="0" quotePrefix="0" xfId="0"/>
    <xf numFmtId="0" fontId="7" fillId="7" borderId="0" pivotButton="0" quotePrefix="0" xfId="0"/>
    <xf numFmtId="0" fontId="0" fillId="7" borderId="1" pivotButton="0" quotePrefix="0" xfId="0"/>
    <xf numFmtId="0" fontId="7" fillId="7" borderId="1" pivotButton="0" quotePrefix="0" xfId="0"/>
    <xf numFmtId="168" fontId="7" fillId="7" borderId="0" pivotButton="0" quotePrefix="0" xfId="0"/>
    <xf numFmtId="168" fontId="7" fillId="7" borderId="1" pivotButton="0" quotePrefix="0" xfId="0"/>
    <xf numFmtId="164" fontId="7" fillId="7" borderId="0" pivotButton="0" quotePrefix="0" xfId="0"/>
    <xf numFmtId="164" fontId="7" fillId="7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8" borderId="0" pivotButton="0" quotePrefix="0" xfId="0"/>
    <xf numFmtId="165" fontId="5" fillId="8" borderId="0" pivotButton="0" quotePrefix="0" xfId="0"/>
    <xf numFmtId="0" fontId="2" fillId="8" borderId="0" pivotButton="0" quotePrefix="0" xfId="0"/>
    <xf numFmtId="165" fontId="2" fillId="8" borderId="0" pivotButton="0" quotePrefix="0" xfId="0"/>
    <xf numFmtId="0" fontId="2" fillId="8" borderId="18" pivotButton="0" quotePrefix="0" xfId="0"/>
    <xf numFmtId="165" fontId="2" fillId="8" borderId="18" pivotButton="0" quotePrefix="0" xfId="0"/>
    <xf numFmtId="0" fontId="0" fillId="8" borderId="1" pivotButton="0" quotePrefix="0" xfId="0"/>
    <xf numFmtId="165" fontId="5" fillId="8" borderId="1" pivotButton="0" quotePrefix="0" xfId="0"/>
    <xf numFmtId="0" fontId="2" fillId="8" borderId="1" pivotButton="0" quotePrefix="0" xfId="0"/>
    <xf numFmtId="165" fontId="2" fillId="8" borderId="1" pivotButton="0" quotePrefix="0" xfId="0"/>
    <xf numFmtId="0" fontId="2" fillId="8" borderId="19" pivotButton="0" quotePrefix="0" xfId="0"/>
    <xf numFmtId="165" fontId="2" fillId="8" borderId="19" pivotButton="0" quotePrefix="0" xfId="0"/>
    <xf numFmtId="169" fontId="0" fillId="0" borderId="0" pivotButton="0" quotePrefix="0" xfId="0"/>
    <xf numFmtId="169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0" fillId="9" borderId="0" pivotButton="0" quotePrefix="0" xfId="0"/>
    <xf numFmtId="165" fontId="0" fillId="9" borderId="0" pivotButton="0" quotePrefix="0" xfId="0"/>
    <xf numFmtId="0" fontId="8" fillId="9" borderId="0" pivotButton="0" quotePrefix="0" xfId="0"/>
    <xf numFmtId="165" fontId="8" fillId="9" borderId="0" pivotButton="0" quotePrefix="0" xfId="0"/>
    <xf numFmtId="0" fontId="8" fillId="9" borderId="20" pivotButton="0" quotePrefix="0" xfId="0"/>
    <xf numFmtId="165" fontId="8" fillId="9" borderId="20" pivotButton="0" quotePrefix="0" xfId="0"/>
    <xf numFmtId="0" fontId="0" fillId="9" borderId="1" pivotButton="0" quotePrefix="0" xfId="0"/>
    <xf numFmtId="165" fontId="0" fillId="9" borderId="1" pivotButton="0" quotePrefix="0" xfId="0"/>
    <xf numFmtId="0" fontId="8" fillId="9" borderId="1" pivotButton="0" quotePrefix="0" xfId="0"/>
    <xf numFmtId="165" fontId="8" fillId="9" borderId="1" pivotButton="0" quotePrefix="0" xfId="0"/>
    <xf numFmtId="0" fontId="8" fillId="9" borderId="21" pivotButton="0" quotePrefix="0" xfId="0"/>
    <xf numFmtId="165" fontId="8" fillId="9" borderId="21" pivotButton="0" quotePrefix="0" xfId="0"/>
    <xf numFmtId="0" fontId="4" fillId="5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6" borderId="2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6" fillId="6" borderId="4" applyAlignment="1" pivotButton="0" quotePrefix="0" xfId="0">
      <alignment horizontal="left" vertical="center"/>
    </xf>
    <xf numFmtId="0" fontId="7" fillId="7" borderId="6" pivotButton="0" quotePrefix="0" xfId="0"/>
    <xf numFmtId="165" fontId="7" fillId="7" borderId="6" pivotButton="0" quotePrefix="0" xfId="0"/>
    <xf numFmtId="168" fontId="7" fillId="7" borderId="6" pivotButton="0" quotePrefix="0" xfId="0"/>
    <xf numFmtId="164" fontId="7" fillId="7" borderId="6" pivotButton="0" quotePrefix="0" xfId="0"/>
    <xf numFmtId="0" fontId="6" fillId="6" borderId="5" applyAlignment="1" pivotButton="0" quotePrefix="0" xfId="0">
      <alignment horizontal="left" vertical="center"/>
    </xf>
    <xf numFmtId="0" fontId="6" fillId="6" borderId="6" applyAlignment="1" pivotButton="0" quotePrefix="0" xfId="0">
      <alignment horizontal="left" vertical="center"/>
    </xf>
    <xf numFmtId="169" fontId="0" fillId="0" borderId="6" pivotButton="0" quotePrefix="0" xfId="0"/>
    <xf numFmtId="165" fontId="5" fillId="0" borderId="6" pivotButton="0" quotePrefix="0" xfId="0"/>
    <xf numFmtId="0" fontId="2" fillId="8" borderId="22" pivotButton="0" quotePrefix="0" xfId="0"/>
    <xf numFmtId="0" fontId="4" fillId="5" borderId="6" applyAlignment="1" pivotButton="0" quotePrefix="0" xfId="0">
      <alignment vertical="top" wrapText="1"/>
    </xf>
    <xf numFmtId="0" fontId="8" fillId="9" borderId="23" pivotButton="0" quotePrefix="0" xfId="0"/>
    <xf numFmtId="0" fontId="0" fillId="0" borderId="7" pivotButton="0" quotePrefix="0" xfId="0"/>
    <xf numFmtId="165" fontId="0" fillId="0" borderId="8" pivotButton="0" quotePrefix="0" xfId="0"/>
    <xf numFmtId="0" fontId="0" fillId="0" borderId="8" pivotButton="0" quotePrefix="0" xfId="0"/>
    <xf numFmtId="0" fontId="4" fillId="5" borderId="8" applyAlignment="1" pivotButton="0" quotePrefix="0" xfId="0">
      <alignment vertical="top" wrapText="1"/>
    </xf>
    <xf numFmtId="0" fontId="4" fillId="5" borderId="9" applyAlignment="1" pivotButton="0" quotePrefix="0" xfId="0">
      <alignment vertical="top" wrapText="1"/>
    </xf>
    <xf numFmtId="0" fontId="6" fillId="6" borderId="10" applyAlignment="1" pivotButton="0" quotePrefix="0" xfId="0">
      <alignment horizontal="left" vertical="center"/>
    </xf>
    <xf numFmtId="0" fontId="6" fillId="6" borderId="11" applyAlignment="1" pivotButton="0" quotePrefix="0" xfId="0">
      <alignment horizontal="left" vertical="center"/>
    </xf>
    <xf numFmtId="0" fontId="6" fillId="6" borderId="12" applyAlignment="1" pivotButton="0" quotePrefix="0" xfId="0">
      <alignment horizontal="left" vertical="center"/>
    </xf>
    <xf numFmtId="0" fontId="7" fillId="7" borderId="14" pivotButton="0" quotePrefix="0" xfId="0"/>
    <xf numFmtId="165" fontId="7" fillId="7" borderId="14" pivotButton="0" quotePrefix="0" xfId="0"/>
    <xf numFmtId="168" fontId="7" fillId="7" borderId="14" pivotButton="0" quotePrefix="0" xfId="0"/>
    <xf numFmtId="164" fontId="7" fillId="7" borderId="14" pivotButton="0" quotePrefix="0" xfId="0"/>
    <xf numFmtId="0" fontId="6" fillId="6" borderId="13" applyAlignment="1" pivotButton="0" quotePrefix="0" xfId="0">
      <alignment horizontal="left" vertical="center"/>
    </xf>
    <xf numFmtId="0" fontId="6" fillId="6" borderId="14" applyAlignment="1" pivotButton="0" quotePrefix="0" xfId="0">
      <alignment horizontal="left" vertical="center"/>
    </xf>
    <xf numFmtId="169" fontId="0" fillId="0" borderId="14" pivotButton="0" quotePrefix="0" xfId="0"/>
    <xf numFmtId="165" fontId="5" fillId="0" borderId="14" pivotButton="0" quotePrefix="0" xfId="0"/>
    <xf numFmtId="0" fontId="2" fillId="8" borderId="24" pivotButton="0" quotePrefix="0" xfId="0"/>
    <xf numFmtId="0" fontId="4" fillId="5" borderId="14" applyAlignment="1" pivotButton="0" quotePrefix="0" xfId="0">
      <alignment vertical="top" wrapText="1"/>
    </xf>
    <xf numFmtId="0" fontId="8" fillId="9" borderId="25" pivotButton="0" quotePrefix="0" xfId="0"/>
    <xf numFmtId="0" fontId="0" fillId="0" borderId="15" pivotButton="0" quotePrefix="0" xfId="0"/>
    <xf numFmtId="165" fontId="0" fillId="0" borderId="16" pivotButton="0" quotePrefix="0" xfId="0"/>
    <xf numFmtId="0" fontId="0" fillId="0" borderId="16" pivotButton="0" quotePrefix="0" xfId="0"/>
    <xf numFmtId="0" fontId="4" fillId="5" borderId="16" applyAlignment="1" pivotButton="0" quotePrefix="0" xfId="0">
      <alignment vertical="top" wrapText="1"/>
    </xf>
    <xf numFmtId="0" fontId="4" fillId="5" borderId="17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6" fillId="6" borderId="2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7" fillId="7" borderId="6" applyAlignment="1" pivotButton="0" quotePrefix="0" xfId="0">
      <alignment wrapText="1"/>
    </xf>
    <xf numFmtId="167" fontId="3" fillId="4" borderId="0" applyAlignment="1" pivotButton="0" quotePrefix="0" xfId="0">
      <alignment wrapText="1"/>
    </xf>
    <xf numFmtId="165" fontId="7" fillId="7" borderId="6" applyAlignment="1" pivotButton="0" quotePrefix="0" xfId="0">
      <alignment wrapText="1"/>
    </xf>
    <xf numFmtId="168" fontId="7" fillId="7" borderId="6" applyAlignment="1" pivotButton="0" quotePrefix="0" xfId="0">
      <alignment wrapText="1"/>
    </xf>
    <xf numFmtId="164" fontId="7" fillId="7" borderId="6" applyAlignment="1" pivotButton="0" quotePrefix="0" xfId="0">
      <alignment wrapText="1"/>
    </xf>
    <xf numFmtId="166" fontId="3" fillId="4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165" fontId="7" fillId="7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6" fillId="6" borderId="5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left" vertical="center" wrapText="1"/>
    </xf>
    <xf numFmtId="169" fontId="0" fillId="0" borderId="6" applyAlignment="1" pivotButton="0" quotePrefix="0" xfId="0">
      <alignment wrapText="1"/>
    </xf>
    <xf numFmtId="165" fontId="5" fillId="0" borderId="0" applyAlignment="1" pivotButton="0" quotePrefix="0" xfId="0">
      <alignment wrapText="1"/>
    </xf>
    <xf numFmtId="165" fontId="5" fillId="0" borderId="6" applyAlignment="1" pivotButton="0" quotePrefix="0" xfId="0">
      <alignment wrapText="1"/>
    </xf>
    <xf numFmtId="0" fontId="2" fillId="8" borderId="22" applyAlignment="1" pivotButton="0" quotePrefix="0" xfId="0">
      <alignment wrapText="1"/>
    </xf>
    <xf numFmtId="0" fontId="2" fillId="8" borderId="18" applyAlignment="1" pivotButton="0" quotePrefix="0" xfId="0">
      <alignment wrapText="1"/>
    </xf>
    <xf numFmtId="165" fontId="2" fillId="8" borderId="18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8" fillId="9" borderId="23" applyAlignment="1" pivotButton="0" quotePrefix="0" xfId="0">
      <alignment wrapText="1"/>
    </xf>
    <xf numFmtId="165" fontId="8" fillId="9" borderId="20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165" fontId="0" fillId="0" borderId="8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9" fillId="10" borderId="29" applyAlignment="1" pivotButton="0" quotePrefix="0" xfId="0">
      <alignment horizontal="center" vertical="center"/>
    </xf>
    <xf numFmtId="0" fontId="0" fillId="0" borderId="29" pivotButton="0" quotePrefix="0" xfId="0"/>
    <xf numFmtId="0" fontId="10" fillId="11" borderId="29" applyAlignment="1" pivotButton="0" quotePrefix="0" xfId="0">
      <alignment vertical="center"/>
    </xf>
    <xf numFmtId="0" fontId="11" fillId="12" borderId="29" applyAlignment="1" pivotButton="0" quotePrefix="0" xfId="0">
      <alignment vertical="center" wrapText="1"/>
    </xf>
    <xf numFmtId="170" fontId="12" fillId="13" borderId="29" applyAlignment="1" pivotButton="0" quotePrefix="0" xfId="0">
      <alignment vertical="center" wrapText="1"/>
    </xf>
    <xf numFmtId="0" fontId="12" fillId="13" borderId="29" applyAlignment="1" pivotButton="0" quotePrefix="0" xfId="0">
      <alignment vertical="center" wrapText="1"/>
    </xf>
    <xf numFmtId="171" fontId="12" fillId="13" borderId="29" applyAlignment="1" pivotButton="0" quotePrefix="0" xfId="0">
      <alignment vertical="center" wrapText="1"/>
    </xf>
    <xf numFmtId="172" fontId="13" fillId="14" borderId="29" applyAlignment="1" pivotButton="0" quotePrefix="0" xfId="0">
      <alignment horizontal="center" vertical="center"/>
    </xf>
    <xf numFmtId="172" fontId="12" fillId="13" borderId="29" applyAlignment="1" pivotButton="0" quotePrefix="0" xfId="0">
      <alignment vertical="center" wrapText="1"/>
    </xf>
    <xf numFmtId="0" fontId="14" fillId="15" borderId="29" applyAlignment="1" pivotButton="0" quotePrefix="0" xfId="0">
      <alignment vertical="top" wrapText="1"/>
    </xf>
    <xf numFmtId="0" fontId="1" fillId="2" borderId="26" applyAlignment="1" pivotButton="0" quotePrefix="0" xfId="0">
      <alignment horizontal="left" vertical="center"/>
    </xf>
    <xf numFmtId="164" fontId="3" fillId="4" borderId="0" pivotButton="0" quotePrefix="0" xfId="0"/>
    <xf numFmtId="165" fontId="3" fillId="4" borderId="0" pivotButton="0" quotePrefix="0" xfId="0"/>
    <xf numFmtId="166" fontId="3" fillId="4" borderId="0" pivotButton="0" quotePrefix="0" xfId="0"/>
    <xf numFmtId="0" fontId="4" fillId="5" borderId="27" applyAlignment="1" pivotButton="0" quotePrefix="0" xfId="0">
      <alignment wrapText="1"/>
    </xf>
    <xf numFmtId="165" fontId="3" fillId="0" borderId="0" pivotButton="0" quotePrefix="0" xfId="0"/>
    <xf numFmtId="165" fontId="5" fillId="0" borderId="0" pivotButton="0" quotePrefix="0" xfId="0"/>
    <xf numFmtId="2" fontId="3" fillId="0" borderId="0" pivotButton="0" quotePrefix="0" xfId="0"/>
    <xf numFmtId="165" fontId="3" fillId="0" borderId="8" pivotButton="0" quotePrefix="0" xfId="0"/>
    <xf numFmtId="165" fontId="5" fillId="0" borderId="8" pivotButton="0" quotePrefix="0" xfId="0"/>
    <xf numFmtId="2" fontId="3" fillId="0" borderId="8" pivotButton="0" quotePrefix="0" xfId="0"/>
    <xf numFmtId="0" fontId="1" fillId="2" borderId="1" applyAlignment="1" pivotButton="0" quotePrefix="0" xfId="0">
      <alignment horizontal="left" vertical="center" wrapText="1"/>
    </xf>
    <xf numFmtId="0" fontId="6" fillId="6" borderId="26" applyAlignment="1" pivotButton="0" quotePrefix="0" xfId="0">
      <alignment horizontal="left" vertical="center" wrapText="1"/>
    </xf>
    <xf numFmtId="167" fontId="3" fillId="4" borderId="0" applyAlignment="1" pivotButton="0" quotePrefix="0" xfId="0">
      <alignment wrapText="1"/>
    </xf>
    <xf numFmtId="165" fontId="7" fillId="7" borderId="6" applyAlignment="1" pivotButton="0" quotePrefix="0" xfId="0">
      <alignment wrapText="1"/>
    </xf>
    <xf numFmtId="168" fontId="7" fillId="7" borderId="6" applyAlignment="1" pivotButton="0" quotePrefix="0" xfId="0">
      <alignment wrapText="1"/>
    </xf>
    <xf numFmtId="164" fontId="7" fillId="7" borderId="6" applyAlignment="1" pivotButton="0" quotePrefix="0" xfId="0">
      <alignment wrapText="1"/>
    </xf>
    <xf numFmtId="166" fontId="3" fillId="4" borderId="0" applyAlignment="1" pivotButton="0" quotePrefix="0" xfId="0">
      <alignment wrapText="1"/>
    </xf>
    <xf numFmtId="165" fontId="7" fillId="7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6" fillId="6" borderId="28" applyAlignment="1" pivotButton="0" quotePrefix="0" xfId="0">
      <alignment horizontal="left" vertical="center" wrapText="1"/>
    </xf>
    <xf numFmtId="169" fontId="0" fillId="0" borderId="6" applyAlignment="1" pivotButton="0" quotePrefix="0" xfId="0">
      <alignment wrapText="1"/>
    </xf>
    <xf numFmtId="165" fontId="5" fillId="0" borderId="0" applyAlignment="1" pivotButton="0" quotePrefix="0" xfId="0">
      <alignment wrapText="1"/>
    </xf>
    <xf numFmtId="165" fontId="5" fillId="0" borderId="6" applyAlignment="1" pivotButton="0" quotePrefix="0" xfId="0">
      <alignment wrapText="1"/>
    </xf>
    <xf numFmtId="165" fontId="2" fillId="8" borderId="18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5" fontId="8" fillId="9" borderId="20" applyAlignment="1" pivotButton="0" quotePrefix="0" xfId="0">
      <alignment wrapText="1"/>
    </xf>
    <xf numFmtId="165" fontId="0" fillId="0" borderId="8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40" min="1" max="1"/>
    <col width="14" customWidth="1" style="40" min="2" max="2"/>
    <col width="18" customWidth="1" style="40" min="3" max="3"/>
    <col width="18" customWidth="1" style="40" min="4" max="4"/>
    <col width="18" customWidth="1" style="40" min="5" max="5"/>
    <col width="18" customWidth="1" style="40" min="6" max="6"/>
  </cols>
  <sheetData>
    <row r="1" ht="28" customHeight="1" s="40">
      <c r="A1" s="217" t="inlineStr">
        <is>
          <t>RESUMEN DE OFERTA AL CLIENTE</t>
        </is>
      </c>
      <c r="B1" s="218" t="n"/>
      <c r="C1" s="218" t="n"/>
      <c r="D1" s="218" t="n"/>
      <c r="E1" s="218" t="n"/>
      <c r="F1" s="218" t="n"/>
    </row>
    <row r="2">
      <c r="A2" s="218" t="n"/>
      <c r="B2" s="218" t="n"/>
      <c r="C2" s="218" t="n"/>
      <c r="D2" s="218" t="n"/>
      <c r="E2" s="218" t="n"/>
      <c r="F2" s="218" t="n"/>
    </row>
    <row r="3">
      <c r="A3" s="219" t="inlineStr">
        <is>
          <t>Servicio a ofertar</t>
        </is>
      </c>
      <c r="B3" s="218" t="n"/>
      <c r="C3" s="220" t="inlineStr"/>
      <c r="D3" s="218" t="n"/>
      <c r="E3" s="218" t="n"/>
      <c r="F3" s="218" t="n"/>
    </row>
    <row r="4">
      <c r="A4" s="219" t="inlineStr">
        <is>
          <t>Origen</t>
        </is>
      </c>
      <c r="B4" s="218" t="n"/>
      <c r="C4" s="220" t="inlineStr"/>
      <c r="D4" s="218" t="n"/>
      <c r="E4" s="218" t="n"/>
      <c r="F4" s="218" t="n"/>
    </row>
    <row r="5">
      <c r="A5" s="219" t="inlineStr">
        <is>
          <t>Destino</t>
        </is>
      </c>
      <c r="B5" s="218" t="n"/>
      <c r="C5" s="220" t="inlineStr"/>
      <c r="D5" s="218" t="n"/>
      <c r="E5" s="218" t="n"/>
      <c r="F5" s="218" t="n"/>
    </row>
    <row r="6">
      <c r="A6" s="219" t="inlineStr">
        <is>
          <t>Tipo de viaje</t>
        </is>
      </c>
      <c r="B6" s="218" t="n"/>
      <c r="C6" s="220" t="inlineStr">
        <is>
          <t>Sencillo</t>
        </is>
      </c>
      <c r="D6" s="218" t="n"/>
      <c r="E6" s="218" t="n"/>
      <c r="F6" s="218" t="n"/>
    </row>
    <row r="7">
      <c r="A7" s="219" t="inlineStr">
        <is>
          <t>Kilómetros a recorrer</t>
        </is>
      </c>
      <c r="B7" s="218" t="n"/>
      <c r="C7" s="221">
        <f>Cotizador!B9</f>
        <v/>
      </c>
      <c r="D7" s="218" t="n"/>
      <c r="E7" s="218" t="n"/>
      <c r="F7" s="218" t="n"/>
    </row>
    <row r="8">
      <c r="A8" s="219" t="inlineStr">
        <is>
          <t>Vehículo / configuración</t>
        </is>
      </c>
      <c r="B8" s="218" t="n"/>
      <c r="C8" s="222">
        <f>Cotizador!F4</f>
        <v/>
      </c>
      <c r="D8" s="218" t="n"/>
      <c r="E8" s="218" t="n"/>
      <c r="F8" s="218" t="n"/>
    </row>
    <row r="9">
      <c r="A9" s="219" t="inlineStr">
        <is>
          <t>Días estimados</t>
        </is>
      </c>
      <c r="B9" s="218" t="n"/>
      <c r="C9" s="223">
        <f>Cotizador!B10</f>
        <v/>
      </c>
      <c r="D9" s="218" t="n"/>
      <c r="E9" s="218" t="n"/>
      <c r="F9" s="218" t="n"/>
    </row>
    <row r="10">
      <c r="A10" s="219" t="inlineStr">
        <is>
          <t>PRECIO OFERTA</t>
        </is>
      </c>
      <c r="B10" s="218" t="n"/>
      <c r="C10" s="224">
        <f>Cotizador!B33</f>
        <v/>
      </c>
      <c r="D10" s="218" t="n"/>
      <c r="E10" s="218" t="n"/>
      <c r="F10" s="218" t="n"/>
    </row>
    <row r="11">
      <c r="A11" s="219" t="inlineStr">
        <is>
          <t>Tarifa referencial por km</t>
        </is>
      </c>
      <c r="B11" s="218" t="n"/>
      <c r="C11" s="225">
        <f>Cotizador!B34</f>
        <v/>
      </c>
      <c r="D11" s="218" t="n"/>
      <c r="E11" s="218" t="n"/>
      <c r="F11" s="218" t="n"/>
    </row>
    <row r="12">
      <c r="A12" s="219" t="inlineStr">
        <is>
          <t>Observaciones</t>
        </is>
      </c>
      <c r="B12" s="218" t="n"/>
      <c r="C12" s="220" t="inlineStr"/>
      <c r="D12" s="218" t="n"/>
      <c r="E12" s="218" t="n"/>
      <c r="F12" s="218" t="n"/>
    </row>
    <row r="13">
      <c r="A13" s="218" t="n"/>
      <c r="B13" s="218" t="n"/>
      <c r="C13" s="218" t="n"/>
      <c r="D13" s="218" t="n"/>
      <c r="E13" s="218" t="n"/>
      <c r="F13" s="218" t="n"/>
    </row>
    <row r="14">
      <c r="A14" s="226" t="inlineStr">
        <is>
          <t>Uso: esta hoja está pensada para tomar un screenshot y enviarlo al cliente. Los kilómetros, días, vehículo y precio se alimentan automáticamente desde la hoja Cotizador. Completa manualmente el servicio, origen, destino, tipo de viaje y observaciones.</t>
        </is>
      </c>
      <c r="B14" s="218" t="n"/>
      <c r="C14" s="218" t="n"/>
      <c r="D14" s="218" t="n"/>
      <c r="E14" s="218" t="n"/>
      <c r="F14" s="218" t="n"/>
    </row>
    <row r="15">
      <c r="A15" s="218" t="n"/>
      <c r="B15" s="218" t="n"/>
      <c r="C15" s="218" t="n"/>
      <c r="D15" s="218" t="n"/>
      <c r="E15" s="218" t="n"/>
      <c r="F15" s="218" t="n"/>
    </row>
    <row r="16">
      <c r="A16" s="218" t="n"/>
      <c r="B16" s="218" t="n"/>
      <c r="C16" s="218" t="n"/>
      <c r="D16" s="218" t="n"/>
      <c r="E16" s="218" t="n"/>
      <c r="F16" s="218" t="n"/>
    </row>
    <row r="17">
      <c r="A17" s="218" t="n"/>
      <c r="B17" s="218" t="n"/>
      <c r="C17" s="218" t="n"/>
      <c r="D17" s="218" t="n"/>
      <c r="E17" s="218" t="n"/>
      <c r="F17" s="218" t="n"/>
    </row>
  </sheetData>
  <mergeCells count="22">
    <mergeCell ref="A14:F17"/>
    <mergeCell ref="C8:F8"/>
    <mergeCell ref="A11:B11"/>
    <mergeCell ref="C7:F7"/>
    <mergeCell ref="A6:B6"/>
    <mergeCell ref="C3:F3"/>
    <mergeCell ref="A7:B7"/>
    <mergeCell ref="C6:F6"/>
    <mergeCell ref="C5:F5"/>
    <mergeCell ref="A3:B3"/>
    <mergeCell ref="A12:B12"/>
    <mergeCell ref="C4:F4"/>
    <mergeCell ref="A5:B5"/>
    <mergeCell ref="C10:F10"/>
    <mergeCell ref="A8:B8"/>
    <mergeCell ref="A4:B4"/>
    <mergeCell ref="C9:F9"/>
    <mergeCell ref="A1:F1"/>
    <mergeCell ref="C12:F12"/>
    <mergeCell ref="A10:B10"/>
    <mergeCell ref="C11:F11"/>
    <mergeCell ref="A9:B9"/>
  </mergeCells>
  <dataValidations count="1">
    <dataValidation sqref="C6" showDropDown="0" showInputMessage="0" showErrorMessage="0" allowBlank="1" type="list">
      <formula1>"Sencillo,Redondo"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1" customWidth="1" style="40" min="1" max="1"/>
    <col width="16" customWidth="1" style="40" min="2" max="2"/>
    <col width="30" customWidth="1" style="40" min="3" max="3"/>
    <col width="42" customWidth="1" style="40" min="4" max="4"/>
  </cols>
  <sheetData>
    <row r="1">
      <c r="A1" s="227" t="inlineStr">
        <is>
          <t>PARÁMETROS GENERALES DE COSTEO Y OFERTA</t>
        </is>
      </c>
      <c r="B1" s="1" t="n"/>
      <c r="C1" s="1" t="n"/>
      <c r="D1" s="1" t="n"/>
    </row>
    <row r="2">
      <c r="A2" s="39" t="n"/>
      <c r="D2" s="41" t="n"/>
    </row>
    <row r="3">
      <c r="A3" s="42" t="inlineStr">
        <is>
          <t>Parámetro</t>
        </is>
      </c>
      <c r="B3" s="14" t="inlineStr">
        <is>
          <t>Valor</t>
        </is>
      </c>
      <c r="C3" s="14" t="inlineStr">
        <is>
          <t>Unidad / aplicación</t>
        </is>
      </c>
      <c r="D3" s="43" t="inlineStr">
        <is>
          <t>Fuente / criterio</t>
        </is>
      </c>
    </row>
    <row r="4">
      <c r="A4" s="39" t="inlineStr">
        <is>
          <t>Margen comercial general</t>
        </is>
      </c>
      <c r="B4" s="228" t="n">
        <v>0.3</v>
      </c>
      <c r="C4" t="inlineStr">
        <is>
          <t>% sobre costo total</t>
        </is>
      </c>
      <c r="D4" s="41" t="inlineStr">
        <is>
          <t>Definido por usuario</t>
        </is>
      </c>
    </row>
    <row r="5">
      <c r="A5" s="39" t="inlineStr">
        <is>
          <t>Depreciación anual</t>
        </is>
      </c>
      <c r="B5" s="228" t="n">
        <v>0.2</v>
      </c>
      <c r="C5" t="inlineStr">
        <is>
          <t>% anual sobre valor total AFT</t>
        </is>
      </c>
      <c r="D5" s="41" t="inlineStr">
        <is>
          <t>Definido por usuario</t>
        </is>
      </c>
    </row>
    <row r="6">
      <c r="A6" s="39" t="inlineStr">
        <is>
          <t>Mantenimiento anual</t>
        </is>
      </c>
      <c r="B6" s="228" t="n">
        <v>0.12</v>
      </c>
      <c r="C6" t="inlineStr">
        <is>
          <t>% anual sobre valor total AFT</t>
        </is>
      </c>
      <c r="D6" s="41" t="inlineStr">
        <is>
          <t>Supuesto editable; sustituir por histórico real</t>
        </is>
      </c>
    </row>
    <row r="7">
      <c r="A7" s="39" t="inlineStr">
        <is>
          <t>Precio combustible</t>
        </is>
      </c>
      <c r="B7" s="229" t="n">
        <v>2.5</v>
      </c>
      <c r="C7" t="inlineStr">
        <is>
          <t>USD/L</t>
        </is>
      </c>
      <c r="D7" s="41" t="inlineStr">
        <is>
          <t>Definido por usuario</t>
        </is>
      </c>
    </row>
    <row r="8">
      <c r="A8" s="39" t="inlineStr">
        <is>
          <t>Lubricantes y grasas</t>
        </is>
      </c>
      <c r="B8" s="228" t="n">
        <v>0.08</v>
      </c>
      <c r="C8" t="inlineStr">
        <is>
          <t>% del costo de combustible</t>
        </is>
      </c>
      <c r="D8" s="41" t="inlineStr">
        <is>
          <t>Supuesto editable</t>
        </is>
      </c>
    </row>
    <row r="9">
      <c r="A9" s="39" t="inlineStr">
        <is>
          <t>Administración / indirectos</t>
        </is>
      </c>
      <c r="B9" s="228" t="n">
        <v>0.1</v>
      </c>
      <c r="C9" t="inlineStr">
        <is>
          <t>% del subtotal operativo</t>
        </is>
      </c>
      <c r="D9" s="41" t="inlineStr">
        <is>
          <t>Supuesto editable</t>
        </is>
      </c>
    </row>
    <row r="10">
      <c r="A10" s="39" t="inlineStr">
        <is>
          <t>Km anuales de referencia</t>
        </is>
      </c>
      <c r="B10" s="230" t="n">
        <v>100000</v>
      </c>
      <c r="C10" t="inlineStr">
        <is>
          <t>km/año por equipo</t>
        </is>
      </c>
      <c r="D10" s="41" t="inlineStr">
        <is>
          <t>Base de distribución; editable</t>
        </is>
      </c>
    </row>
    <row r="11">
      <c r="A11" s="39" t="inlineStr">
        <is>
          <t>Redondeo de oferta</t>
        </is>
      </c>
      <c r="B11" s="229" t="n">
        <v>5</v>
      </c>
      <c r="C11" t="inlineStr">
        <is>
          <t>USD</t>
        </is>
      </c>
      <c r="D11" s="41" t="inlineStr">
        <is>
          <t>Redondeo comercial sugerido</t>
        </is>
      </c>
    </row>
    <row r="12">
      <c r="A12" s="39" t="inlineStr">
        <is>
          <t>Salario diario estándar</t>
        </is>
      </c>
      <c r="B12" s="229" t="n">
        <v>43.15</v>
      </c>
      <c r="C12" t="inlineStr">
        <is>
          <t>USD/trabajador/día</t>
        </is>
      </c>
      <c r="D12" s="41" t="inlineStr">
        <is>
          <t>Definido por usuario</t>
        </is>
      </c>
    </row>
    <row r="13">
      <c r="A13" s="39" t="inlineStr">
        <is>
          <t>Dieta diaria estándar</t>
        </is>
      </c>
      <c r="B13" s="229" t="n">
        <v>5.115</v>
      </c>
      <c r="C13" t="inlineStr">
        <is>
          <t>USD/trabajador/día</t>
        </is>
      </c>
      <c r="D13" s="41" t="inlineStr">
        <is>
          <t>Derivado de USD 10.23 para 2 días; editable</t>
        </is>
      </c>
    </row>
    <row r="14">
      <c r="A14" s="39" t="n"/>
      <c r="D14" s="41" t="n"/>
    </row>
    <row r="15">
      <c r="A15" s="231" t="inlineStr">
        <is>
          <t>Nota: el “margen comercial” se calcula como recargo (markup) sobre el costo total: Precio = Costo × (1 + margen).</t>
        </is>
      </c>
      <c r="B15" s="1" t="n"/>
      <c r="C15" s="1" t="n"/>
      <c r="D15" s="1" t="n"/>
    </row>
  </sheetData>
  <mergeCells count="2">
    <mergeCell ref="A1:D1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style="40" min="1" max="1"/>
    <col width="31" customWidth="1" style="40" min="2" max="2"/>
    <col width="24" customWidth="1" style="40" min="3" max="3"/>
    <col width="20" customWidth="1" style="40" min="4" max="4"/>
    <col width="20" customWidth="1" style="40" min="5" max="5"/>
    <col width="20" customWidth="1" style="40" min="6" max="6"/>
    <col width="18" customWidth="1" style="40" min="7" max="7"/>
    <col width="36" customWidth="1" style="40" min="8" max="8"/>
  </cols>
  <sheetData>
    <row r="1">
      <c r="A1" s="9" t="inlineStr">
        <is>
          <t>CATÁLOGO DE VEHÍCULOS / CONFIGURACIONES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67" t="inlineStr">
        <is>
          <t>ID</t>
        </is>
      </c>
      <c r="B3" s="68" t="inlineStr">
        <is>
          <t>Vehículo / configuración</t>
        </is>
      </c>
      <c r="C3" s="68" t="inlineStr">
        <is>
          <t>Tipo de servicio</t>
        </is>
      </c>
      <c r="D3" s="68" t="inlineStr">
        <is>
          <t>Valor vehículo (USD)</t>
        </is>
      </c>
      <c r="E3" s="68" t="inlineStr">
        <is>
          <t>Valor equipo / remolque (USD)</t>
        </is>
      </c>
      <c r="F3" s="68" t="inlineStr">
        <is>
          <t>Valor total AFT (USD)</t>
        </is>
      </c>
      <c r="G3" s="68" t="inlineStr">
        <is>
          <t>Índice consumo (km/L)</t>
        </is>
      </c>
      <c r="H3" s="69" t="inlineStr">
        <is>
          <t>Observaciones</t>
        </is>
      </c>
    </row>
    <row r="4">
      <c r="A4" s="70" t="inlineStr">
        <is>
          <t>MCV-ACTROS-40</t>
        </is>
      </c>
      <c r="B4" s="57" t="inlineStr">
        <is>
          <t>Cuña MCV Actros C/Semi</t>
        </is>
      </c>
      <c r="C4" s="57" t="inlineStr">
        <is>
          <t>Contenedor 40 pies</t>
        </is>
      </c>
      <c r="D4" s="232" t="n">
        <v>139120</v>
      </c>
      <c r="E4" s="232" t="n">
        <v>50689</v>
      </c>
      <c r="F4" s="233">
        <f>D4+E4</f>
        <v/>
      </c>
      <c r="G4" s="234" t="n">
        <v>2.2</v>
      </c>
      <c r="H4" s="89" t="inlineStr">
        <is>
          <t>Configuración inicial aportada por usuario</t>
        </is>
      </c>
    </row>
    <row r="5">
      <c r="A5" s="70" t="str"/>
      <c r="B5" s="57" t="str"/>
      <c r="C5" s="57" t="str"/>
      <c r="D5" s="232" t="n"/>
      <c r="E5" s="232" t="n"/>
      <c r="F5" s="233">
        <f>IF(COUNTA(D5:E5)=0,"",SUM(D5:E5))</f>
        <v/>
      </c>
      <c r="G5" s="234" t="n"/>
      <c r="H5" s="89" t="str"/>
    </row>
    <row r="6">
      <c r="A6" s="70" t="str"/>
      <c r="B6" s="57" t="str"/>
      <c r="C6" s="57" t="str"/>
      <c r="D6" s="232" t="n"/>
      <c r="E6" s="232" t="n"/>
      <c r="F6" s="233">
        <f>IF(COUNTA(D6:E6)=0,"",SUM(D6:E6))</f>
        <v/>
      </c>
      <c r="G6" s="234" t="n"/>
      <c r="H6" s="89" t="str"/>
    </row>
    <row r="7">
      <c r="A7" s="70" t="str"/>
      <c r="B7" s="57" t="str"/>
      <c r="C7" s="57" t="str"/>
      <c r="D7" s="232" t="n"/>
      <c r="E7" s="232" t="n"/>
      <c r="F7" s="233">
        <f>IF(COUNTA(D7:E7)=0,"",SUM(D7:E7))</f>
        <v/>
      </c>
      <c r="G7" s="234" t="n"/>
      <c r="H7" s="89" t="str"/>
    </row>
    <row r="8">
      <c r="A8" s="70" t="str"/>
      <c r="B8" s="57" t="str"/>
      <c r="C8" s="57" t="str"/>
      <c r="D8" s="232" t="n"/>
      <c r="E8" s="232" t="n"/>
      <c r="F8" s="233">
        <f>IF(COUNTA(D8:E8)=0,"",SUM(D8:E8))</f>
        <v/>
      </c>
      <c r="G8" s="234" t="n"/>
      <c r="H8" s="89" t="str"/>
    </row>
    <row r="9">
      <c r="A9" s="70" t="str"/>
      <c r="B9" s="57" t="str"/>
      <c r="C9" s="57" t="str"/>
      <c r="D9" s="232" t="n"/>
      <c r="E9" s="232" t="n"/>
      <c r="F9" s="233">
        <f>IF(COUNTA(D9:E9)=0,"",SUM(D9:E9))</f>
        <v/>
      </c>
      <c r="G9" s="234" t="n"/>
      <c r="H9" s="89" t="str"/>
    </row>
    <row r="10">
      <c r="A10" s="70" t="str"/>
      <c r="B10" s="57" t="str"/>
      <c r="C10" s="57" t="str"/>
      <c r="D10" s="232" t="n"/>
      <c r="E10" s="232" t="n"/>
      <c r="F10" s="233">
        <f>IF(COUNTA(D10:E10)=0,"",SUM(D10:E10))</f>
        <v/>
      </c>
      <c r="G10" s="234" t="n"/>
      <c r="H10" s="89" t="str"/>
    </row>
    <row r="11">
      <c r="A11" s="70" t="str"/>
      <c r="B11" s="57" t="str"/>
      <c r="C11" s="57" t="str"/>
      <c r="D11" s="232" t="n"/>
      <c r="E11" s="232" t="n"/>
      <c r="F11" s="233">
        <f>IF(COUNTA(D11:E11)=0,"",SUM(D11:E11))</f>
        <v/>
      </c>
      <c r="G11" s="234" t="n"/>
      <c r="H11" s="89" t="str"/>
    </row>
    <row r="12">
      <c r="A12" s="70" t="str"/>
      <c r="B12" s="57" t="str"/>
      <c r="C12" s="57" t="str"/>
      <c r="D12" s="232" t="n"/>
      <c r="E12" s="232" t="n"/>
      <c r="F12" s="233">
        <f>IF(COUNTA(D12:E12)=0,"",SUM(D12:E12))</f>
        <v/>
      </c>
      <c r="G12" s="234" t="n"/>
      <c r="H12" s="89" t="str"/>
    </row>
    <row r="13">
      <c r="A13" s="70" t="str"/>
      <c r="B13" s="57" t="str"/>
      <c r="C13" s="57" t="str"/>
      <c r="D13" s="232" t="n"/>
      <c r="E13" s="232" t="n"/>
      <c r="F13" s="233">
        <f>IF(COUNTA(D13:E13)=0,"",SUM(D13:E13))</f>
        <v/>
      </c>
      <c r="G13" s="234" t="n"/>
      <c r="H13" s="89" t="str"/>
    </row>
    <row r="14">
      <c r="A14" s="70" t="str"/>
      <c r="B14" s="57" t="str"/>
      <c r="C14" s="57" t="str"/>
      <c r="D14" s="232" t="n"/>
      <c r="E14" s="232" t="n"/>
      <c r="F14" s="233">
        <f>IF(COUNTA(D14:E14)=0,"",SUM(D14:E14))</f>
        <v/>
      </c>
      <c r="G14" s="234" t="n"/>
      <c r="H14" s="89" t="str"/>
    </row>
    <row r="15">
      <c r="A15" s="70" t="str"/>
      <c r="B15" s="57" t="str"/>
      <c r="C15" s="57" t="str"/>
      <c r="D15" s="232" t="n"/>
      <c r="E15" s="232" t="n"/>
      <c r="F15" s="233">
        <f>IF(COUNTA(D15:E15)=0,"",SUM(D15:E15))</f>
        <v/>
      </c>
      <c r="G15" s="234" t="n"/>
      <c r="H15" s="89" t="str"/>
    </row>
    <row r="16">
      <c r="A16" s="70" t="str"/>
      <c r="B16" s="57" t="str"/>
      <c r="C16" s="57" t="str"/>
      <c r="D16" s="232" t="n"/>
      <c r="E16" s="232" t="n"/>
      <c r="F16" s="233">
        <f>IF(COUNTA(D16:E16)=0,"",SUM(D16:E16))</f>
        <v/>
      </c>
      <c r="G16" s="234" t="n"/>
      <c r="H16" s="89" t="str"/>
    </row>
    <row r="17">
      <c r="A17" s="70" t="str"/>
      <c r="B17" s="57" t="str"/>
      <c r="C17" s="57" t="str"/>
      <c r="D17" s="232" t="n"/>
      <c r="E17" s="232" t="n"/>
      <c r="F17" s="233">
        <f>IF(COUNTA(D17:E17)=0,"",SUM(D17:E17))</f>
        <v/>
      </c>
      <c r="G17" s="234" t="n"/>
      <c r="H17" s="89" t="str"/>
    </row>
    <row r="18">
      <c r="A18" s="70" t="str"/>
      <c r="B18" s="57" t="str"/>
      <c r="C18" s="57" t="str"/>
      <c r="D18" s="232" t="n"/>
      <c r="E18" s="232" t="n"/>
      <c r="F18" s="233">
        <f>IF(COUNTA(D18:E18)=0,"",SUM(D18:E18))</f>
        <v/>
      </c>
      <c r="G18" s="234" t="n"/>
      <c r="H18" s="89" t="str"/>
    </row>
    <row r="19">
      <c r="A19" s="70" t="str"/>
      <c r="B19" s="57" t="str"/>
      <c r="C19" s="57" t="str"/>
      <c r="D19" s="232" t="n"/>
      <c r="E19" s="232" t="n"/>
      <c r="F19" s="233">
        <f>IF(COUNTA(D19:E19)=0,"",SUM(D19:E19))</f>
        <v/>
      </c>
      <c r="G19" s="234" t="n"/>
      <c r="H19" s="89" t="str"/>
    </row>
    <row r="20">
      <c r="A20" s="70" t="str"/>
      <c r="B20" s="57" t="str"/>
      <c r="C20" s="57" t="str"/>
      <c r="D20" s="232" t="n"/>
      <c r="E20" s="232" t="n"/>
      <c r="F20" s="233">
        <f>IF(COUNTA(D20:E20)=0,"",SUM(D20:E20))</f>
        <v/>
      </c>
      <c r="G20" s="234" t="n"/>
      <c r="H20" s="89" t="str"/>
    </row>
    <row r="21">
      <c r="A21" s="70" t="str"/>
      <c r="B21" s="57" t="str"/>
      <c r="C21" s="57" t="str"/>
      <c r="D21" s="232" t="n"/>
      <c r="E21" s="232" t="n"/>
      <c r="F21" s="233">
        <f>IF(COUNTA(D21:E21)=0,"",SUM(D21:E21))</f>
        <v/>
      </c>
      <c r="G21" s="234" t="n"/>
      <c r="H21" s="89" t="str"/>
    </row>
    <row r="22">
      <c r="A22" s="70" t="str"/>
      <c r="B22" s="57" t="str"/>
      <c r="C22" s="57" t="str"/>
      <c r="D22" s="232" t="n"/>
      <c r="E22" s="232" t="n"/>
      <c r="F22" s="233">
        <f>IF(COUNTA(D22:E22)=0,"",SUM(D22:E22))</f>
        <v/>
      </c>
      <c r="G22" s="234" t="n"/>
      <c r="H22" s="89" t="str"/>
    </row>
    <row r="23">
      <c r="A23" s="70" t="str"/>
      <c r="B23" s="57" t="str"/>
      <c r="C23" s="57" t="str"/>
      <c r="D23" s="232" t="n"/>
      <c r="E23" s="232" t="n"/>
      <c r="F23" s="233">
        <f>IF(COUNTA(D23:E23)=0,"",SUM(D23:E23))</f>
        <v/>
      </c>
      <c r="G23" s="234" t="n"/>
      <c r="H23" s="89" t="str"/>
    </row>
    <row r="24">
      <c r="A24" s="72" t="str"/>
      <c r="B24" s="73" t="str"/>
      <c r="C24" s="73" t="str"/>
      <c r="D24" s="235" t="n"/>
      <c r="E24" s="235" t="n"/>
      <c r="F24" s="236">
        <f>IF(COUNTA(D24:E24)=0,"",SUM(D24:E24))</f>
        <v/>
      </c>
      <c r="G24" s="237" t="n"/>
      <c r="H24" s="90" t="str"/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style="40" min="1" max="1"/>
    <col width="23" customWidth="1" style="40" min="2" max="2"/>
    <col width="18" customWidth="1" style="40" min="3" max="3"/>
    <col width="25" customWidth="1" style="40" min="4" max="4"/>
    <col width="22" customWidth="1" style="40" min="5" max="5"/>
    <col width="22" customWidth="1" style="40" min="6" max="6"/>
  </cols>
  <sheetData>
    <row r="1">
      <c r="A1" s="238" t="inlineStr">
        <is>
          <t>COTIZADOR DE SERVICIOS DE TRANSPORTE</t>
        </is>
      </c>
      <c r="B1" s="1" t="n"/>
      <c r="C1" s="1" t="n"/>
      <c r="D1" s="1" t="n"/>
      <c r="E1" s="1" t="n"/>
      <c r="F1" s="1" t="n"/>
    </row>
    <row r="2">
      <c r="A2" s="186" t="n"/>
      <c r="B2" s="186" t="n"/>
      <c r="C2" s="186" t="n"/>
      <c r="D2" s="186" t="n"/>
      <c r="E2" s="186" t="n"/>
      <c r="F2" s="186" t="n"/>
    </row>
    <row r="3">
      <c r="A3" s="239" t="inlineStr">
        <is>
          <t>DATOS DE LA OFERTA</t>
        </is>
      </c>
      <c r="B3" s="1" t="n"/>
      <c r="C3" s="1" t="n"/>
      <c r="D3" s="1" t="n"/>
      <c r="E3" s="1" t="n"/>
      <c r="F3" s="1" t="n"/>
    </row>
    <row r="4">
      <c r="A4" s="190" t="inlineStr">
        <is>
          <t>No. Oferta</t>
        </is>
      </c>
      <c r="B4" s="191" t="str"/>
      <c r="C4" s="186" t="n"/>
      <c r="D4" s="186" t="inlineStr">
        <is>
          <t>Descripción</t>
        </is>
      </c>
      <c r="E4" s="186" t="n"/>
      <c r="F4" s="192">
        <f>IFERROR(VLOOKUP($B$8,Vehiculos!$A$4:$H$24,2,FALSE),"")</f>
        <v/>
      </c>
    </row>
    <row r="5">
      <c r="A5" s="190" t="inlineStr">
        <is>
          <t>Cliente</t>
        </is>
      </c>
      <c r="B5" s="191" t="str"/>
      <c r="C5" s="186" t="n"/>
      <c r="D5" s="186" t="inlineStr">
        <is>
          <t>Tipo de servicio</t>
        </is>
      </c>
      <c r="E5" s="186" t="n"/>
      <c r="F5" s="192">
        <f>IFERROR(VLOOKUP($B$8,Vehiculos!$A$4:$H$24,3,FALSE),"")</f>
        <v/>
      </c>
    </row>
    <row r="6">
      <c r="A6" s="190" t="inlineStr">
        <is>
          <t>Fecha</t>
        </is>
      </c>
      <c r="B6" s="240" t="n">
        <v>46293</v>
      </c>
      <c r="C6" s="186" t="n"/>
      <c r="D6" s="186" t="inlineStr">
        <is>
          <t>Valor total AFT</t>
        </is>
      </c>
      <c r="E6" s="186" t="n"/>
      <c r="F6" s="241">
        <f>IFERROR(VLOOKUP($B$8,Vehiculos!$A$4:$H$24,6,FALSE),0)</f>
        <v/>
      </c>
    </row>
    <row r="7">
      <c r="A7" s="190" t="inlineStr">
        <is>
          <t>Origen / destino / servicio</t>
        </is>
      </c>
      <c r="B7" s="191" t="str"/>
      <c r="C7" s="186" t="n"/>
      <c r="D7" s="186" t="inlineStr">
        <is>
          <t>Consumo</t>
        </is>
      </c>
      <c r="E7" s="186" t="n"/>
      <c r="F7" s="242">
        <f>IFERROR(VLOOKUP($B$8,Vehiculos!$A$4:$H$24,7,FALSE),0)</f>
        <v/>
      </c>
    </row>
    <row r="8">
      <c r="A8" s="190" t="inlineStr">
        <is>
          <t>ID vehículo / configuración</t>
        </is>
      </c>
      <c r="B8" s="191" t="inlineStr">
        <is>
          <t>MCV-ACTROS-40</t>
        </is>
      </c>
      <c r="C8" s="186" t="n"/>
      <c r="D8" s="186" t="inlineStr">
        <is>
          <t>Margen aplicado</t>
        </is>
      </c>
      <c r="E8" s="186" t="n"/>
      <c r="F8" s="243">
        <f>IF($B$14="",Parametros!$B$4,$B$14)</f>
        <v/>
      </c>
    </row>
    <row r="9">
      <c r="A9" s="190" t="inlineStr">
        <is>
          <t>Kilómetros totales del servicio</t>
        </is>
      </c>
      <c r="B9" s="244" t="n">
        <v>935</v>
      </c>
      <c r="C9" s="186" t="n"/>
      <c r="D9" s="186" t="n"/>
      <c r="E9" s="186" t="n"/>
      <c r="F9" s="198" t="n"/>
    </row>
    <row r="10">
      <c r="A10" s="190" t="inlineStr">
        <is>
          <t>Cantidad de días</t>
        </is>
      </c>
      <c r="B10" s="244" t="n">
        <v>2</v>
      </c>
      <c r="C10" s="186" t="n"/>
      <c r="D10" s="186" t="n"/>
      <c r="E10" s="186" t="n"/>
      <c r="F10" s="198" t="n"/>
    </row>
    <row r="11">
      <c r="A11" s="190" t="inlineStr">
        <is>
          <t>Cantidad de trabajadores / choferes</t>
        </is>
      </c>
      <c r="B11" s="244" t="n">
        <v>1</v>
      </c>
      <c r="C11" s="186" t="n"/>
      <c r="D11" s="186" t="n"/>
      <c r="E11" s="186" t="n"/>
      <c r="F11" s="198" t="n"/>
    </row>
    <row r="12">
      <c r="A12" s="190" t="inlineStr">
        <is>
          <t>Salario diario por trabajador</t>
        </is>
      </c>
      <c r="B12" s="245">
        <f>Parametros!$B$12</f>
        <v/>
      </c>
      <c r="C12" s="186" t="n"/>
      <c r="D12" s="186" t="n"/>
      <c r="E12" s="186" t="n"/>
      <c r="F12" s="198" t="n"/>
    </row>
    <row r="13">
      <c r="A13" s="190" t="inlineStr">
        <is>
          <t>Dieta diaria por trabajador</t>
        </is>
      </c>
      <c r="B13" s="245">
        <f>Parametros!$B$13</f>
        <v/>
      </c>
      <c r="C13" s="186" t="n"/>
      <c r="D13" s="186" t="n"/>
      <c r="E13" s="186" t="n"/>
      <c r="F13" s="198" t="n"/>
    </row>
    <row r="14">
      <c r="A14" s="190" t="inlineStr">
        <is>
          <t>Margen específico (opcional)</t>
        </is>
      </c>
      <c r="B14" s="246" t="n"/>
      <c r="C14" s="186" t="n"/>
      <c r="D14" s="186" t="n"/>
      <c r="E14" s="186" t="n"/>
      <c r="F14" s="198" t="n"/>
    </row>
    <row r="15">
      <c r="A15" s="190" t="n"/>
      <c r="B15" s="186" t="n"/>
      <c r="C15" s="186" t="n"/>
      <c r="D15" s="186" t="n"/>
      <c r="E15" s="186" t="n"/>
      <c r="F15" s="198" t="n"/>
    </row>
    <row r="16">
      <c r="A16" s="247" t="inlineStr">
        <is>
          <t>CÁLCULO DEL COSTO DEL SERVICIO</t>
        </is>
      </c>
      <c r="B16" s="1" t="n"/>
      <c r="C16" s="1" t="n"/>
      <c r="D16" s="1" t="n"/>
      <c r="E16" s="1" t="n"/>
      <c r="F16" s="1" t="n"/>
    </row>
    <row r="17">
      <c r="A17" s="42" t="inlineStr">
        <is>
          <t>Concepto</t>
        </is>
      </c>
      <c r="B17" s="14" t="inlineStr">
        <is>
          <t>Cálculo / base</t>
        </is>
      </c>
      <c r="C17" s="14" t="inlineStr">
        <is>
          <t>Costo (USD)</t>
        </is>
      </c>
      <c r="D17" s="186" t="inlineStr">
        <is>
          <t>Litros estimados</t>
        </is>
      </c>
      <c r="E17" s="186" t="n"/>
      <c r="F17" s="248">
        <f>IFERROR($B$9/$F$7,0)</f>
        <v/>
      </c>
    </row>
    <row r="18">
      <c r="A18" s="190" t="inlineStr">
        <is>
          <t>Combustible</t>
        </is>
      </c>
      <c r="B18" s="186" t="inlineStr">
        <is>
          <t>Km ÷ km/L × precio combustible</t>
        </is>
      </c>
      <c r="C18" s="249">
        <f>IFERROR($B$9/$F$7*Parametros!$B$7,0)</f>
        <v/>
      </c>
      <c r="D18" s="186" t="inlineStr">
        <is>
          <t>Depreciación anual AFT</t>
        </is>
      </c>
      <c r="E18" s="186" t="n"/>
      <c r="F18" s="250">
        <f>$F$6*Parametros!$B$5</f>
        <v/>
      </c>
    </row>
    <row r="19">
      <c r="A19" s="190" t="inlineStr">
        <is>
          <t>Salarios</t>
        </is>
      </c>
      <c r="B19" s="186" t="inlineStr">
        <is>
          <t>Días × trabajadores × salario diario</t>
        </is>
      </c>
      <c r="C19" s="249">
        <f>$B$10*$B$11*$B$12</f>
        <v/>
      </c>
      <c r="D19" s="186" t="inlineStr">
        <is>
          <t>Depreciación USD/km</t>
        </is>
      </c>
      <c r="E19" s="186" t="n"/>
      <c r="F19" s="250">
        <f>IFERROR(F18/Parametros!$B$10,0)</f>
        <v/>
      </c>
    </row>
    <row r="20">
      <c r="A20" s="190" t="inlineStr">
        <is>
          <t>Dietas</t>
        </is>
      </c>
      <c r="B20" s="186" t="inlineStr">
        <is>
          <t>Días × trabajadores × dieta diaria</t>
        </is>
      </c>
      <c r="C20" s="249">
        <f>$B$10*$B$11*$B$13</f>
        <v/>
      </c>
      <c r="D20" s="186" t="inlineStr">
        <is>
          <t>Mantenimiento anual AFT</t>
        </is>
      </c>
      <c r="E20" s="186" t="n"/>
      <c r="F20" s="250">
        <f>$F$6*Parametros!$B$6</f>
        <v/>
      </c>
    </row>
    <row r="21">
      <c r="A21" s="190" t="inlineStr">
        <is>
          <t>Depreciación</t>
        </is>
      </c>
      <c r="B21" s="186" t="inlineStr">
        <is>
          <t>AFT × % anual ÷ km/año × km viaje</t>
        </is>
      </c>
      <c r="C21" s="249">
        <f>$F$6*Parametros!$B$5/Parametros!$B$10*$B$9</f>
        <v/>
      </c>
      <c r="D21" s="186" t="inlineStr">
        <is>
          <t>Mantenimiento USD/km</t>
        </is>
      </c>
      <c r="E21" s="186" t="n"/>
      <c r="F21" s="250">
        <f>IFERROR(F20/Parametros!$B$10,0)</f>
        <v/>
      </c>
    </row>
    <row r="22">
      <c r="A22" s="190" t="inlineStr">
        <is>
          <t>Mantenimiento</t>
        </is>
      </c>
      <c r="B22" s="186" t="inlineStr">
        <is>
          <t>AFT × % anual ÷ km/año × km viaje</t>
        </is>
      </c>
      <c r="C22" s="249">
        <f>$F$6*Parametros!$B$6/Parametros!$B$10*$B$9</f>
        <v/>
      </c>
      <c r="D22" s="186" t="inlineStr">
        <is>
          <t>Costo total USD/km</t>
        </is>
      </c>
      <c r="E22" s="186" t="n"/>
      <c r="F22" s="250">
        <f>IFERROR($C$26/$B$9,0)</f>
        <v/>
      </c>
    </row>
    <row r="23">
      <c r="A23" s="190" t="inlineStr">
        <is>
          <t>Lubricantes y grasas</t>
        </is>
      </c>
      <c r="B23" s="186" t="inlineStr">
        <is>
          <t>% sobre costo combustible</t>
        </is>
      </c>
      <c r="C23" s="249">
        <f>C18*Parametros!$B$8</f>
        <v/>
      </c>
      <c r="D23" s="186" t="inlineStr">
        <is>
          <t>Tarifa ofertada USD/km</t>
        </is>
      </c>
      <c r="E23" s="186" t="n"/>
      <c r="F23" s="250">
        <f>IFERROR($F$25/$B$9,0)</f>
        <v/>
      </c>
    </row>
    <row r="24">
      <c r="A24" s="190" t="inlineStr">
        <is>
          <t>Subtotal operativo</t>
        </is>
      </c>
      <c r="B24" s="186" t="str"/>
      <c r="C24" s="249">
        <f>SUM(C18:C23)</f>
        <v/>
      </c>
      <c r="D24" s="186" t="inlineStr">
        <is>
          <t>Recargo comercial</t>
        </is>
      </c>
      <c r="E24" s="186" t="n"/>
      <c r="F24" s="250">
        <f>$C$26*$F$8</f>
        <v/>
      </c>
    </row>
    <row r="25">
      <c r="A25" s="190" t="inlineStr">
        <is>
          <t>Administración / indirectos</t>
        </is>
      </c>
      <c r="B25" s="186" t="inlineStr">
        <is>
          <t>% sobre subtotal operativo</t>
        </is>
      </c>
      <c r="C25" s="249">
        <f>C24*Parametros!$B$9</f>
        <v/>
      </c>
      <c r="D25" s="186" t="inlineStr">
        <is>
          <t>Precio sin redondear</t>
        </is>
      </c>
      <c r="E25" s="186" t="n"/>
      <c r="F25" s="250">
        <f>$C$26+$F$24</f>
        <v/>
      </c>
    </row>
    <row r="26">
      <c r="A26" s="207" t="inlineStr">
        <is>
          <t>COSTO TOTAL</t>
        </is>
      </c>
      <c r="B26" s="208" t="str"/>
      <c r="C26" s="251">
        <f>C24+C25</f>
        <v/>
      </c>
      <c r="D26" s="186" t="n"/>
      <c r="E26" s="186" t="n"/>
      <c r="F26" s="198" t="n"/>
    </row>
    <row r="27">
      <c r="A27" s="190" t="n"/>
      <c r="B27" s="186" t="n"/>
      <c r="C27" s="186" t="n"/>
      <c r="D27" s="186" t="n"/>
      <c r="E27" s="186" t="n"/>
      <c r="F27" s="198" t="n"/>
    </row>
    <row r="28">
      <c r="A28" s="247" t="inlineStr">
        <is>
          <t>RESUMEN DE OFERTA</t>
        </is>
      </c>
      <c r="B28" s="1" t="n"/>
      <c r="C28" s="1" t="n"/>
      <c r="D28" s="1" t="n"/>
      <c r="E28" s="1" t="n"/>
      <c r="F28" s="1" t="n"/>
    </row>
    <row r="29">
      <c r="A29" s="190" t="inlineStr">
        <is>
          <t>Costo total estimado</t>
        </is>
      </c>
      <c r="B29" s="252">
        <f>C26</f>
        <v/>
      </c>
      <c r="C29" s="186" t="n"/>
      <c r="D29" s="184" t="inlineStr">
        <is>
          <t>Uso:
1) Selecciona el ID del vehículo.
2) Introduce km, días y cantidad de choferes.
3) Ajusta salario/dieta si difieren del estándar.
4) Los porcentajes generales se modifican en “Parametros”.
5) Los 935 km deben representar el recorrido total facturable del equipo.</t>
        </is>
      </c>
      <c r="E29" s="1" t="n"/>
      <c r="F29" s="1" t="n"/>
    </row>
    <row r="30">
      <c r="A30" s="190" t="inlineStr">
        <is>
          <t>Margen comercial aplicado</t>
        </is>
      </c>
      <c r="B30" s="253">
        <f>F8</f>
        <v/>
      </c>
      <c r="C30" s="186" t="n"/>
      <c r="D30" s="1" t="n"/>
    </row>
    <row r="31">
      <c r="A31" s="190" t="inlineStr">
        <is>
          <t>Ganancia / recargo comercial</t>
        </is>
      </c>
      <c r="B31" s="252">
        <f>F24</f>
        <v/>
      </c>
      <c r="C31" s="186" t="n"/>
      <c r="D31" s="1" t="n"/>
    </row>
    <row r="32">
      <c r="A32" s="190" t="inlineStr">
        <is>
          <t>Precio calculado</t>
        </is>
      </c>
      <c r="B32" s="252">
        <f>F25</f>
        <v/>
      </c>
      <c r="C32" s="186" t="n"/>
      <c r="D32" s="1" t="n"/>
    </row>
    <row r="33">
      <c r="A33" s="212" t="inlineStr">
        <is>
          <t>PRECIO RECOMENDADO</t>
        </is>
      </c>
      <c r="B33" s="254">
        <f>IF(Parametros!$B$11&lt;=0,B32,ROUNDUP(B32/Parametros!$B$11,0)*Parametros!$B$11)</f>
        <v/>
      </c>
      <c r="C33" s="186" t="n"/>
      <c r="D33" s="1" t="n"/>
    </row>
    <row r="34">
      <c r="A34" s="214" t="inlineStr">
        <is>
          <t>Tarifa recomendada por km</t>
        </is>
      </c>
      <c r="B34" s="255">
        <f>IFERROR(B33/$B$9,0)</f>
        <v/>
      </c>
      <c r="C34" s="216" t="n"/>
      <c r="D34" s="1" t="n"/>
    </row>
  </sheetData>
  <mergeCells count="7">
    <mergeCell ref="A16:F16"/>
    <mergeCell ref="D29:F34"/>
    <mergeCell ref="A28:F28"/>
    <mergeCell ref="A1:F1"/>
    <mergeCell ref="D3:F3"/>
    <mergeCell ref="A3:F3"/>
    <mergeCell ref="D16:F16"/>
  </mergeCells>
  <conditionalFormatting sqref="B33">
    <cfRule type="dataBar" priority="1">
      <dataBar>
        <cfvo type="min"/>
        <cfvo type="max"/>
        <color rgb="FF70AD47"/>
      </dataBar>
    </cfRule>
  </conditionalFormatting>
  <dataValidations count="1">
    <dataValidation sqref="B8" showDropDown="0" showInputMessage="0" showErrorMessage="0" allowBlank="0" type="list">
      <formula1>Vehiculos!$A$4:$A$24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2026-09-29T03:15:42Z</dcterms:created>
  <dcterms:modified xmlns:dcterms="http://purl.org/dc/terms/" xmlns:xsi="http://www.w3.org/2001/XMLSchema-instance" xsi:type="dcterms:W3CDTF">2026-09-29T03:15:42Z</dcterms:modified>
</cp:coreProperties>
</file>